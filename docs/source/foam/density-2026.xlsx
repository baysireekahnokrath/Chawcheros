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48B1B88-9CE2-415B-8733-98681569AE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J18" i="1" l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<sst xmlns="http://schemas.openxmlformats.org/spreadsheetml/2006/main" count="94" uniqueCount="75">
  <si>
    <t>บริษัท</t>
  </si>
  <si>
    <t>รหัส</t>
  </si>
  <si>
    <t>สี</t>
  </si>
  <si>
    <t>SIZE</t>
  </si>
  <si>
    <t>DENSITY/KG/M</t>
  </si>
  <si>
    <t>HARDNESS/JIS</t>
  </si>
  <si>
    <t>HARDNESS/KG/314cm</t>
  </si>
  <si>
    <t>HARDNESS/นิวตั้น</t>
  </si>
  <si>
    <t>ราคา/นิ้ว</t>
  </si>
  <si>
    <t>ราคา/ ตรฟ</t>
  </si>
  <si>
    <t>ใช้ทำ</t>
  </si>
  <si>
    <t>STOCK</t>
  </si>
  <si>
    <t>กรุงเทพโฟม</t>
  </si>
  <si>
    <t>SQ</t>
  </si>
  <si>
    <t>ชมพู</t>
  </si>
  <si>
    <t>50*80</t>
  </si>
  <si>
    <t>20+-2</t>
  </si>
  <si>
    <t>ที่พิง</t>
  </si>
  <si>
    <t>แทน CH4S</t>
  </si>
  <si>
    <t>HR3</t>
  </si>
  <si>
    <t>ม่วงอ่อน</t>
  </si>
  <si>
    <t>26+-2</t>
  </si>
  <si>
    <t>นั่งข้าง</t>
  </si>
  <si>
    <t>แทน CH 3,แทน LK7</t>
  </si>
  <si>
    <t>HR36</t>
  </si>
  <si>
    <t>เหลือง</t>
  </si>
  <si>
    <t>33+-2</t>
  </si>
  <si>
    <t>แทน CHXA</t>
  </si>
  <si>
    <t>ดูราโฟม</t>
  </si>
  <si>
    <t>AM7</t>
  </si>
  <si>
    <t>ขาว</t>
  </si>
  <si>
    <t>10+-2</t>
  </si>
  <si>
    <t>อัด</t>
  </si>
  <si>
    <t>40*80</t>
  </si>
  <si>
    <t>DM2  กันไฟ</t>
  </si>
  <si>
    <t>50*80"</t>
  </si>
  <si>
    <t>8+-2</t>
  </si>
  <si>
    <t>DGU กันไฟ นิ่ม</t>
  </si>
  <si>
    <t>เทาเข้ม</t>
  </si>
  <si>
    <t>28+-2</t>
  </si>
  <si>
    <t>กันไฟ UK</t>
  </si>
  <si>
    <t>LGX  กันไฟแข็ง</t>
  </si>
  <si>
    <t>เทาอ่อน</t>
  </si>
  <si>
    <t>37+-2</t>
  </si>
  <si>
    <t>13+-2</t>
  </si>
  <si>
    <t>อัด กันไฟ</t>
  </si>
  <si>
    <t>47*78</t>
  </si>
  <si>
    <t>90+-2</t>
  </si>
  <si>
    <t>อีสเทอร์นโฟม</t>
  </si>
  <si>
    <t>FFC</t>
  </si>
  <si>
    <t>เขียวแก่</t>
  </si>
  <si>
    <t>15+-1</t>
  </si>
  <si>
    <t>ที่นั่ง</t>
  </si>
  <si>
    <t>แทน  CHFF</t>
  </si>
  <si>
    <t>CHXA</t>
  </si>
  <si>
    <t>สีเหลือง</t>
  </si>
  <si>
    <t>32+-2</t>
  </si>
  <si>
    <t>19+-1</t>
  </si>
  <si>
    <t>60-75</t>
  </si>
  <si>
    <t>เฉียวฟู</t>
  </si>
  <si>
    <t>MEMORY FOAM</t>
  </si>
  <si>
    <t>ER51  W1</t>
  </si>
  <si>
    <t>40+-2</t>
  </si>
  <si>
    <t>TAKA</t>
  </si>
  <si>
    <t>SPK</t>
  </si>
  <si>
    <t>QUICKDRY</t>
  </si>
  <si>
    <t>MEDIUM</t>
  </si>
  <si>
    <t>150*200</t>
  </si>
  <si>
    <t>28/5/69</t>
  </si>
  <si>
    <t>ปรับราคาใหม่</t>
  </si>
  <si>
    <t>BZ5</t>
  </si>
  <si>
    <t>ฟ้า</t>
  </si>
  <si>
    <t>35-+2</t>
  </si>
  <si>
    <t>60*80</t>
  </si>
  <si>
    <t xml:space="preserve"> 28/5/69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</si>
</sst>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4"/>
      <name val="Cordia New"/>
      <family val="2"/>
    </font>
    <font>
      <b/>
      <sz val="14"/>
      <name val="AngsanaUPC"/>
      <family val="1"/>
      <charset val="222"/>
    </font>
    <font>
      <sz val="12"/>
      <name val="Cordia New"/>
      <family val="2"/>
    </font>
    <font>
      <b/>
      <sz val="12"/>
      <name val="AngsanaUPC"/>
      <family val="1"/>
      <charset val="222"/>
    </font>
    <font>
      <b/>
      <i/>
      <sz val="14"/>
      <name val="Cordia New"/>
      <family val="2"/>
    </font>
    <font>
      <b/>
      <sz val="12"/>
      <name val="Constantia"/>
      <family val="1"/>
    </font>
    <font>
      <b/>
      <sz val="14"/>
      <color rgb="FFFF0000"/>
      <name val="AngsanaUPC"/>
      <family val="1"/>
      <charset val="222"/>
    </font>
    <font>
      <sz val="14"/>
      <color rgb="FFFF0000"/>
      <name val="Cordia New"/>
      <family val="2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2" fontId="3" fillId="0" borderId="12" xfId="1" applyNumberFormat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3" xfId="1" applyFont="1" applyBorder="1"/>
    <xf numFmtId="0" fontId="6" fillId="0" borderId="7" xfId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2" fillId="0" borderId="4" xfId="1" applyFont="1" applyBorder="1"/>
    <xf numFmtId="0" fontId="6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2" fontId="3" fillId="0" borderId="6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8" xfId="1" applyFont="1" applyBorder="1"/>
    <xf numFmtId="0" fontId="2" fillId="0" borderId="5" xfId="1" applyFont="1" applyBorder="1" applyAlignment="1">
      <alignment horizontal="center"/>
    </xf>
    <xf numFmtId="3" fontId="3" fillId="0" borderId="6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1" fillId="2" borderId="1" xfId="1" applyFill="1" applyBorder="1" applyAlignment="1">
      <alignment horizontal="center" wrapText="1"/>
    </xf>
    <xf numFmtId="0" fontId="1" fillId="2" borderId="2" xfId="1" applyFill="1" applyBorder="1" applyAlignment="1">
      <alignment horizontal="center" wrapText="1"/>
    </xf>
    <xf numFmtId="0" fontId="1" fillId="2" borderId="6" xfId="1" applyFill="1" applyBorder="1" applyAlignment="1">
      <alignment horizontal="center" wrapText="1"/>
    </xf>
    <xf numFmtId="0" fontId="2" fillId="0" borderId="15" xfId="1" applyFont="1" applyBorder="1"/>
    <xf numFmtId="0" fontId="8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2" fontId="8" fillId="0" borderId="6" xfId="1" applyNumberFormat="1" applyFont="1" applyBorder="1" applyAlignment="1">
      <alignment horizontal="center"/>
    </xf>
    <xf numFmtId="2" fontId="8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17" xfId="1" applyFont="1" applyBorder="1"/>
    <xf numFmtId="0" fontId="4" fillId="0" borderId="18" xfId="1" applyFont="1" applyBorder="1"/>
    <xf numFmtId="0" fontId="4" fillId="0" borderId="9" xfId="1" applyFont="1" applyBorder="1"/>
    <xf numFmtId="0" fontId="4" fillId="0" borderId="19" xfId="1" applyFont="1" applyBorder="1"/>
    <xf numFmtId="0" fontId="5" fillId="0" borderId="19" xfId="1" applyFont="1" applyBorder="1"/>
    <xf numFmtId="0" fontId="5" fillId="0" borderId="18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20" xfId="1" applyFont="1" applyBorder="1"/>
    <xf numFmtId="0" fontId="4" fillId="0" borderId="21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5" fillId="0" borderId="25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26" xfId="1" applyFont="1" applyBorder="1"/>
    <xf numFmtId="0" fontId="3" fillId="0" borderId="27" xfId="1" applyFont="1" applyBorder="1" applyAlignment="1">
      <alignment horizontal="center"/>
    </xf>
    <xf numFmtId="3" fontId="3" fillId="0" borderId="3" xfId="1" applyNumberFormat="1" applyFont="1" applyBorder="1" applyAlignment="1">
      <alignment horizontal="center"/>
    </xf>
    <xf numFmtId="0" fontId="2" fillId="0" borderId="6" xfId="1" applyFont="1" applyBorder="1"/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1" fillId="0" borderId="14" xfId="1" applyBorder="1" applyAlignment="1">
      <alignment horizontal="center"/>
    </xf>
    <xf numFmtId="164" fontId="1" fillId="0" borderId="15" xfId="2" applyFont="1" applyBorder="1" applyAlignment="1"/>
    <xf numFmtId="0" fontId="3" fillId="0" borderId="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2" fontId="8" fillId="0" borderId="18" xfId="1" applyNumberFormat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20" xfId="1" applyFont="1" applyBorder="1"/>
    <xf numFmtId="0" fontId="7" fillId="0" borderId="0" xfId="1" applyFont="1" applyAlignment="1">
      <alignment horizontal="center"/>
    </xf>
    <xf numFmtId="0" fontId="9" fillId="0" borderId="6" xfId="1" applyFont="1" applyBorder="1" applyAlignment="1">
      <alignment horizontal="center"/>
    </xf>
    <xf numFmtId="164" fontId="9" fillId="0" borderId="6" xfId="2" applyFont="1" applyBorder="1" applyAlignment="1">
      <alignment horizontal="center"/>
    </xf>
    <xf numFmtId="0" fontId="9" fillId="0" borderId="8" xfId="1" applyFont="1" applyBorder="1"/>
    <xf numFmtId="164" fontId="5" fillId="0" borderId="1" xfId="2" applyFont="1" applyBorder="1" applyAlignment="1">
      <alignment horizontal="center"/>
    </xf>
    <xf numFmtId="164" fontId="9" fillId="0" borderId="1" xfId="2" applyFont="1" applyBorder="1" applyAlignment="1">
      <alignment horizontal="center"/>
    </xf>
    <xf numFmtId="0" fontId="9" fillId="0" borderId="4" xfId="1" applyFont="1" applyBorder="1"/>
    <xf numFmtId="0" fontId="9" fillId="0" borderId="0" xfId="1" applyFont="1"/>
    <xf numFmtId="0" fontId="6" fillId="0" borderId="28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6" fillId="0" borderId="29" xfId="1" applyFont="1" applyBorder="1" applyAlignment="1">
      <alignment horizontal="center"/>
    </xf>
    <xf numFmtId="43" fontId="1" fillId="0" borderId="15" xfId="3" applyFont="1" applyBorder="1" applyAlignment="1"/>
  </cellXfs>
  <cellStyles count="4">
    <cellStyle name="Comma" xfId="3" builtinId="3"/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D23" sqref="D23"/>
    </sheetView>
  </sheetViews>
  <sheetFormatPr defaultRowHeight="15"/>
  <cols>
    <col min="1" max="1" width="12" customWidth="1"/>
    <col min="2" max="2" width="15.7109375" bestFit="1" customWidth="1"/>
    <col min="3" max="3" width="8.7109375" customWidth="1"/>
    <col min="4" max="4" width="11.7109375" bestFit="1" customWidth="1"/>
    <col min="5" max="5" width="12.28515625" bestFit="1" customWidth="1"/>
    <col min="6" max="6" width="11.7109375" bestFit="1" customWidth="1"/>
    <col min="7" max="7" width="16.7109375" bestFit="1" customWidth="1"/>
    <col min="8" max="8" width="11.85546875" bestFit="1" customWidth="1"/>
    <col min="9" max="9" width="12.85546875" customWidth="1"/>
    <col min="10" max="12" width="20" customWidth="1"/>
  </cols>
  <sheetData>
    <row r="1" spans="1:12" ht="22.5" thickBot="1">
      <c r="A1" s="66" t="s">
        <v>68</v>
      </c>
      <c r="B1" s="1"/>
      <c r="C1" s="1"/>
      <c r="D1" s="1"/>
      <c r="E1" s="1"/>
      <c r="F1" s="1"/>
      <c r="G1" s="1"/>
      <c r="H1" s="1"/>
      <c r="I1" s="73" t="s">
        <v>69</v>
      </c>
      <c r="J1" s="1"/>
      <c r="K1" s="1"/>
      <c r="L1" s="1"/>
    </row>
    <row r="2" spans="1:12" ht="18.75">
      <c r="A2" s="32"/>
      <c r="B2" s="33"/>
      <c r="C2" s="34"/>
      <c r="D2" s="35"/>
      <c r="E2" s="34">
        <v>3</v>
      </c>
      <c r="F2" s="34"/>
      <c r="G2" s="34">
        <v>2</v>
      </c>
      <c r="H2" s="36"/>
      <c r="I2" s="37"/>
      <c r="J2" s="38"/>
      <c r="K2" s="39"/>
      <c r="L2" s="40"/>
    </row>
    <row r="3" spans="1:12" ht="19.5" thickBot="1">
      <c r="A3" s="41" t="s">
        <v>0</v>
      </c>
      <c r="B3" s="42" t="s">
        <v>1</v>
      </c>
      <c r="C3" s="43" t="s">
        <v>2</v>
      </c>
      <c r="D3" s="44" t="s">
        <v>3</v>
      </c>
      <c r="E3" s="43" t="s">
        <v>4</v>
      </c>
      <c r="F3" s="43" t="s">
        <v>5</v>
      </c>
      <c r="G3" s="43" t="s">
        <v>6</v>
      </c>
      <c r="H3" s="43" t="s">
        <v>7</v>
      </c>
      <c r="I3" s="45" t="s">
        <v>8</v>
      </c>
      <c r="J3" s="43" t="s">
        <v>9</v>
      </c>
      <c r="K3" s="43" t="s">
        <v>10</v>
      </c>
      <c r="L3" s="46" t="s">
        <v>11</v>
      </c>
    </row>
    <row r="4" spans="1:12" ht="21.75">
      <c r="A4" s="76" t="s">
        <v>12</v>
      </c>
      <c r="B4" s="77" t="s">
        <v>13</v>
      </c>
      <c r="C4" s="77" t="s">
        <v>14</v>
      </c>
      <c r="D4" s="77" t="s">
        <v>15</v>
      </c>
      <c r="E4" s="77" t="s">
        <v>16</v>
      </c>
      <c r="F4" s="77">
        <v>6</v>
      </c>
      <c r="G4" s="77"/>
      <c r="H4" s="77"/>
      <c r="I4" s="77">
        <v>220</v>
      </c>
      <c r="J4" s="6">
        <f>I4/27.8</f>
        <v>7.9136690647482011</v>
      </c>
      <c r="K4" s="7" t="s">
        <v>17</v>
      </c>
      <c r="L4" s="8" t="s">
        <v>18</v>
      </c>
    </row>
    <row r="5" spans="1:12" ht="21.75">
      <c r="A5" s="9"/>
      <c r="B5" s="4" t="s">
        <v>19</v>
      </c>
      <c r="C5" s="4" t="s">
        <v>20</v>
      </c>
      <c r="D5" s="4" t="s">
        <v>15</v>
      </c>
      <c r="E5" s="4" t="s">
        <v>21</v>
      </c>
      <c r="F5" s="4">
        <v>16</v>
      </c>
      <c r="G5" s="4"/>
      <c r="H5" s="4"/>
      <c r="I5" s="4">
        <v>220</v>
      </c>
      <c r="J5" s="21">
        <f t="shared" ref="J5:J7" si="0">I5/27.8</f>
        <v>7.9136690647482011</v>
      </c>
      <c r="K5" s="2" t="s">
        <v>22</v>
      </c>
      <c r="L5" s="11" t="s">
        <v>23</v>
      </c>
    </row>
    <row r="6" spans="1:12" ht="21.75">
      <c r="A6" s="9"/>
      <c r="B6" s="26" t="s">
        <v>24</v>
      </c>
      <c r="C6" s="26" t="s">
        <v>25</v>
      </c>
      <c r="D6" s="26" t="s">
        <v>15</v>
      </c>
      <c r="E6" s="26" t="s">
        <v>26</v>
      </c>
      <c r="F6" s="26">
        <v>17</v>
      </c>
      <c r="G6" s="26"/>
      <c r="H6" s="26"/>
      <c r="I6" s="26">
        <v>310</v>
      </c>
      <c r="J6" s="10">
        <f t="shared" si="0"/>
        <v>11.151079136690647</v>
      </c>
      <c r="K6" s="2"/>
      <c r="L6" s="11" t="s">
        <v>27</v>
      </c>
    </row>
    <row r="7" spans="1:12" ht="21.75">
      <c r="A7" s="74"/>
      <c r="B7" s="75" t="s">
        <v>29</v>
      </c>
      <c r="C7" s="20" t="s">
        <v>30</v>
      </c>
      <c r="D7" s="20" t="s">
        <v>15</v>
      </c>
      <c r="E7" s="20" t="s">
        <v>31</v>
      </c>
      <c r="F7" s="20"/>
      <c r="G7" s="20"/>
      <c r="H7" s="20"/>
      <c r="I7" s="20">
        <v>116</v>
      </c>
      <c r="J7" s="10">
        <f t="shared" si="0"/>
        <v>4.1726618705035969</v>
      </c>
      <c r="K7" s="19"/>
      <c r="L7" s="25"/>
    </row>
    <row r="8" spans="1:12" ht="22.5" thickBot="1">
      <c r="A8" s="78"/>
      <c r="B8" s="60" t="s">
        <v>32</v>
      </c>
      <c r="C8" s="13"/>
      <c r="D8" s="13" t="s">
        <v>33</v>
      </c>
      <c r="E8" s="13">
        <v>100</v>
      </c>
      <c r="F8" s="13"/>
      <c r="G8" s="13"/>
      <c r="H8" s="13"/>
      <c r="I8" s="13">
        <v>215</v>
      </c>
      <c r="J8" s="14">
        <f>I8/22.2</f>
        <v>9.6846846846846848</v>
      </c>
      <c r="K8" s="15"/>
      <c r="L8" s="16"/>
    </row>
    <row r="9" spans="1:12" ht="21.75">
      <c r="A9" s="31" t="s">
        <v>28</v>
      </c>
      <c r="B9" s="58" t="s">
        <v>34</v>
      </c>
      <c r="C9" s="3" t="s">
        <v>14</v>
      </c>
      <c r="D9" s="3" t="s">
        <v>35</v>
      </c>
      <c r="E9" s="3" t="s">
        <v>21</v>
      </c>
      <c r="F9" s="3" t="s">
        <v>36</v>
      </c>
      <c r="G9" s="3"/>
      <c r="H9" s="59"/>
      <c r="I9" s="3">
        <v>350</v>
      </c>
      <c r="J9" s="79">
        <f>I9/27.8</f>
        <v>12.589928057553957</v>
      </c>
      <c r="K9" s="19"/>
      <c r="L9" s="25"/>
    </row>
    <row r="10" spans="1:12" ht="21.75">
      <c r="A10" s="9"/>
      <c r="B10" s="20" t="s">
        <v>37</v>
      </c>
      <c r="C10" s="20" t="s">
        <v>38</v>
      </c>
      <c r="D10" s="20" t="s">
        <v>15</v>
      </c>
      <c r="E10" s="23" t="s">
        <v>39</v>
      </c>
      <c r="F10" s="23" t="s">
        <v>31</v>
      </c>
      <c r="G10" s="23"/>
      <c r="H10" s="20"/>
      <c r="I10" s="23">
        <v>368</v>
      </c>
      <c r="J10" s="79">
        <f t="shared" ref="J10:J11" si="1">I10/27.8</f>
        <v>13.237410071942445</v>
      </c>
      <c r="K10" s="2"/>
      <c r="L10" s="11" t="s">
        <v>40</v>
      </c>
    </row>
    <row r="11" spans="1:12" ht="21.75">
      <c r="A11" s="9"/>
      <c r="B11" s="4" t="s">
        <v>41</v>
      </c>
      <c r="C11" s="4" t="s">
        <v>42</v>
      </c>
      <c r="D11" s="4" t="s">
        <v>15</v>
      </c>
      <c r="E11" s="22" t="s">
        <v>43</v>
      </c>
      <c r="F11" s="22" t="s">
        <v>44</v>
      </c>
      <c r="G11" s="22"/>
      <c r="H11" s="4"/>
      <c r="I11" s="22">
        <v>385</v>
      </c>
      <c r="J11" s="79">
        <f t="shared" si="1"/>
        <v>13.848920863309353</v>
      </c>
      <c r="K11" s="2"/>
      <c r="L11" s="11" t="s">
        <v>40</v>
      </c>
    </row>
    <row r="12" spans="1:12" ht="22.5" thickBot="1">
      <c r="A12" s="12"/>
      <c r="B12" s="13" t="s">
        <v>45</v>
      </c>
      <c r="C12" s="13"/>
      <c r="D12" s="13" t="s">
        <v>46</v>
      </c>
      <c r="E12" s="24" t="s">
        <v>47</v>
      </c>
      <c r="F12" s="24" t="s">
        <v>16</v>
      </c>
      <c r="G12" s="24"/>
      <c r="H12" s="13"/>
      <c r="I12" s="24">
        <v>298</v>
      </c>
      <c r="J12" s="79">
        <f>I12/22.75</f>
        <v>13.098901098901099</v>
      </c>
      <c r="K12" s="15"/>
      <c r="L12" s="16" t="s">
        <v>40</v>
      </c>
    </row>
    <row r="13" spans="1:12" ht="21.75">
      <c r="A13" s="61" t="s">
        <v>48</v>
      </c>
      <c r="B13" s="62" t="s">
        <v>49</v>
      </c>
      <c r="C13" s="62" t="s">
        <v>50</v>
      </c>
      <c r="D13" s="62" t="s">
        <v>15</v>
      </c>
      <c r="E13" s="62" t="s">
        <v>21</v>
      </c>
      <c r="F13" s="62" t="s">
        <v>51</v>
      </c>
      <c r="G13" s="62"/>
      <c r="H13" s="62"/>
      <c r="I13" s="62">
        <v>255.15</v>
      </c>
      <c r="J13" s="63">
        <f>I13/27.8</f>
        <v>9.178057553956835</v>
      </c>
      <c r="K13" s="64" t="s">
        <v>52</v>
      </c>
      <c r="L13" s="65" t="s">
        <v>53</v>
      </c>
    </row>
    <row r="14" spans="1:12" ht="21.75">
      <c r="A14" s="5"/>
      <c r="B14" s="26" t="s">
        <v>54</v>
      </c>
      <c r="C14" s="26" t="s">
        <v>55</v>
      </c>
      <c r="D14" s="26" t="s">
        <v>15</v>
      </c>
      <c r="E14" s="30" t="s">
        <v>56</v>
      </c>
      <c r="F14" s="30" t="s">
        <v>57</v>
      </c>
      <c r="G14" s="71"/>
      <c r="H14" s="26" t="s">
        <v>58</v>
      </c>
      <c r="I14" s="26">
        <v>312.89999999999998</v>
      </c>
      <c r="J14" s="29">
        <f>I14/27.8</f>
        <v>11.255395683453237</v>
      </c>
      <c r="K14" s="30"/>
      <c r="L14" s="72"/>
    </row>
    <row r="15" spans="1:12" ht="22.5" thickBot="1">
      <c r="A15" s="17"/>
      <c r="B15" s="27" t="s">
        <v>70</v>
      </c>
      <c r="C15" s="27" t="s">
        <v>71</v>
      </c>
      <c r="D15" s="27" t="s">
        <v>73</v>
      </c>
      <c r="E15" s="67" t="s">
        <v>72</v>
      </c>
      <c r="F15" s="67" t="s">
        <v>57</v>
      </c>
      <c r="G15" s="68"/>
      <c r="H15" s="27"/>
      <c r="I15" s="27">
        <v>462</v>
      </c>
      <c r="J15" s="28">
        <f>I15/33.3</f>
        <v>13.873873873873874</v>
      </c>
      <c r="K15" s="67"/>
      <c r="L15" s="69"/>
    </row>
    <row r="16" spans="1:12" ht="21.75">
      <c r="A16" s="51" t="s">
        <v>59</v>
      </c>
      <c r="B16" s="47" t="s">
        <v>60</v>
      </c>
      <c r="C16" s="47"/>
      <c r="D16" s="47" t="s">
        <v>15</v>
      </c>
      <c r="E16" s="47"/>
      <c r="F16" s="47"/>
      <c r="G16" s="47"/>
      <c r="H16" s="47"/>
      <c r="I16" s="52">
        <v>1040</v>
      </c>
      <c r="J16" s="48">
        <v>37.410071942446045</v>
      </c>
      <c r="K16" s="49"/>
      <c r="L16" s="50"/>
    </row>
    <row r="17" spans="1:12" ht="22.5" thickBot="1">
      <c r="A17" s="13"/>
      <c r="B17" s="13" t="s">
        <v>61</v>
      </c>
      <c r="C17" s="13" t="s">
        <v>30</v>
      </c>
      <c r="D17" s="13" t="s">
        <v>15</v>
      </c>
      <c r="E17" s="13" t="s">
        <v>62</v>
      </c>
      <c r="F17" s="13" t="s">
        <v>36</v>
      </c>
      <c r="G17" s="13"/>
      <c r="H17" s="13"/>
      <c r="I17" s="18">
        <v>492</v>
      </c>
      <c r="J17" s="14">
        <v>17.697841726618705</v>
      </c>
      <c r="K17" s="15"/>
      <c r="L17" s="53" t="s">
        <v>63</v>
      </c>
    </row>
    <row r="18" spans="1:12" ht="18.75">
      <c r="A18" s="54" t="s">
        <v>64</v>
      </c>
      <c r="B18" s="54" t="s">
        <v>65</v>
      </c>
      <c r="C18" s="55" t="s">
        <v>66</v>
      </c>
      <c r="D18" s="54" t="s">
        <v>67</v>
      </c>
      <c r="E18" s="55"/>
      <c r="F18" s="55"/>
      <c r="G18" s="55"/>
      <c r="H18" s="55"/>
      <c r="I18" s="57">
        <v>850</v>
      </c>
      <c r="J18" s="70">
        <f>I18/33.3</f>
        <v>25.525525525525527</v>
      </c>
      <c r="K18" s="54"/>
      <c r="L18" s="55"/>
    </row>
    <row r="19" spans="1:12" ht="18.75">
      <c r="A19" s="54"/>
      <c r="B19" s="55"/>
      <c r="C19" s="55"/>
      <c r="D19" s="55"/>
      <c r="E19" s="55"/>
      <c r="F19" s="55"/>
      <c r="G19" s="55"/>
      <c r="H19" s="55"/>
      <c r="I19" s="56"/>
      <c r="J19" s="57"/>
      <c r="K19" s="54"/>
      <c r="L19" s="55"/>
    </row>
    <row r="20" spans="1:12" ht="21.75">
      <c r="A20" s="1"/>
      <c r="B20" s="1"/>
      <c r="C20" s="1"/>
      <c r="D20" s="1"/>
      <c r="E20" s="1"/>
      <c r="F20" s="1"/>
      <c r="G20" s="1"/>
      <c r="H20" s="1"/>
      <c r="I20" s="1"/>
      <c r="J20" s="1"/>
      <c r="K20" s="66" t="s">
        <v>74</v>
      </c>
      <c r="L20" s="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2026-08-06T07:30:27Z</cp:lastPrinted>
  <dcterms:created xsi:type="dcterms:W3CDTF">2025-09-30T04:13:42Z</dcterms:created>
  <dcterms:modified xsi:type="dcterms:W3CDTF">2026-10-19T01:49:40Z</dcterms:modified>
</cp:coreProperties>
</file>